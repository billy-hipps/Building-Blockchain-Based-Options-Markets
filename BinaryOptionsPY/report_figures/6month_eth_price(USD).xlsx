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IFERROR(__xludf.DUMMYFUNCTION("GOOGLEFINANCE(""CURRENCY:ETHUSD"", ""price"", TODAY()-180, TODAY(), 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IFERROR(__xludf.DUMMYFUNCTION("""COMPUTED_VALUE"""),45593.99861111111)</f>
        <v>45593.99861</v>
      </c>
      <c r="B2" s="1">
        <f>IFERROR(__xludf.DUMMYFUNCTION("""COMPUTED_VALUE"""),2473.868299)</f>
        <v>2473.868299</v>
      </c>
    </row>
    <row r="3">
      <c r="A3" s="2">
        <f>IFERROR(__xludf.DUMMYFUNCTION("""COMPUTED_VALUE"""),45594.99861111111)</f>
        <v>45594.99861</v>
      </c>
      <c r="B3" s="1">
        <f>IFERROR(__xludf.DUMMYFUNCTION("""COMPUTED_VALUE"""),2605.039837)</f>
        <v>2605.039837</v>
      </c>
    </row>
    <row r="4">
      <c r="A4" s="2">
        <f>IFERROR(__xludf.DUMMYFUNCTION("""COMPUTED_VALUE"""),45595.99861111111)</f>
        <v>45595.99861</v>
      </c>
      <c r="B4" s="1">
        <f>IFERROR(__xludf.DUMMYFUNCTION("""COMPUTED_VALUE"""),2639.036275)</f>
        <v>2639.036275</v>
      </c>
    </row>
    <row r="5">
      <c r="A5" s="2">
        <f>IFERROR(__xludf.DUMMYFUNCTION("""COMPUTED_VALUE"""),45596.99861111111)</f>
        <v>45596.99861</v>
      </c>
      <c r="B5" s="1">
        <f>IFERROR(__xludf.DUMMYFUNCTION("""COMPUTED_VALUE"""),2655.687051)</f>
        <v>2655.687051</v>
      </c>
    </row>
    <row r="6">
      <c r="A6" s="2">
        <f>IFERROR(__xludf.DUMMYFUNCTION("""COMPUTED_VALUE"""),45597.99861111111)</f>
        <v>45597.99861</v>
      </c>
      <c r="B6" s="1">
        <f>IFERROR(__xludf.DUMMYFUNCTION("""COMPUTED_VALUE"""),2500.312704)</f>
        <v>2500.312704</v>
      </c>
    </row>
    <row r="7">
      <c r="A7" s="2">
        <f>IFERROR(__xludf.DUMMYFUNCTION("""COMPUTED_VALUE"""),45598.99861111111)</f>
        <v>45598.99861</v>
      </c>
      <c r="B7" s="1">
        <f>IFERROR(__xludf.DUMMYFUNCTION("""COMPUTED_VALUE"""),2506.876113)</f>
        <v>2506.876113</v>
      </c>
    </row>
    <row r="8">
      <c r="A8" s="2">
        <f>IFERROR(__xludf.DUMMYFUNCTION("""COMPUTED_VALUE"""),45599.99861111111)</f>
        <v>45599.99861</v>
      </c>
      <c r="B8" s="1">
        <f>IFERROR(__xludf.DUMMYFUNCTION("""COMPUTED_VALUE"""),2450.989727)</f>
        <v>2450.989727</v>
      </c>
    </row>
    <row r="9">
      <c r="A9" s="2">
        <f>IFERROR(__xludf.DUMMYFUNCTION("""COMPUTED_VALUE"""),45600.99861111111)</f>
        <v>45600.99861</v>
      </c>
      <c r="B9" s="1">
        <f>IFERROR(__xludf.DUMMYFUNCTION("""COMPUTED_VALUE"""),2471.459445)</f>
        <v>2471.459445</v>
      </c>
    </row>
    <row r="10">
      <c r="A10" s="2">
        <f>IFERROR(__xludf.DUMMYFUNCTION("""COMPUTED_VALUE"""),45601.99861111111)</f>
        <v>45601.99861</v>
      </c>
      <c r="B10" s="1">
        <f>IFERROR(__xludf.DUMMYFUNCTION("""COMPUTED_VALUE"""),2427.011897)</f>
        <v>2427.011897</v>
      </c>
    </row>
    <row r="11">
      <c r="A11" s="2">
        <f>IFERROR(__xludf.DUMMYFUNCTION("""COMPUTED_VALUE"""),45602.99861111111)</f>
        <v>45602.99861</v>
      </c>
      <c r="B11" s="1">
        <f>IFERROR(__xludf.DUMMYFUNCTION("""COMPUTED_VALUE"""),2590.296894)</f>
        <v>2590.296894</v>
      </c>
    </row>
    <row r="12">
      <c r="A12" s="2">
        <f>IFERROR(__xludf.DUMMYFUNCTION("""COMPUTED_VALUE"""),45603.99861111111)</f>
        <v>45603.99861</v>
      </c>
      <c r="B12" s="1">
        <f>IFERROR(__xludf.DUMMYFUNCTION("""COMPUTED_VALUE"""),2838.117561)</f>
        <v>2838.117561</v>
      </c>
    </row>
    <row r="13">
      <c r="A13" s="2">
        <f>IFERROR(__xludf.DUMMYFUNCTION("""COMPUTED_VALUE"""),45604.99861111111)</f>
        <v>45604.99861</v>
      </c>
      <c r="B13" s="1">
        <f>IFERROR(__xludf.DUMMYFUNCTION("""COMPUTED_VALUE"""),2903.559234)</f>
        <v>2903.559234</v>
      </c>
    </row>
    <row r="14">
      <c r="A14" s="2">
        <f>IFERROR(__xludf.DUMMYFUNCTION("""COMPUTED_VALUE"""),45605.99861111111)</f>
        <v>45605.99861</v>
      </c>
      <c r="B14" s="1">
        <f>IFERROR(__xludf.DUMMYFUNCTION("""COMPUTED_VALUE"""),2972.719488)</f>
        <v>2972.719488</v>
      </c>
    </row>
    <row r="15">
      <c r="A15" s="2">
        <f>IFERROR(__xludf.DUMMYFUNCTION("""COMPUTED_VALUE"""),45606.99861111111)</f>
        <v>45606.99861</v>
      </c>
      <c r="B15" s="1">
        <f>IFERROR(__xludf.DUMMYFUNCTION("""COMPUTED_VALUE"""),3177.303821)</f>
        <v>3177.303821</v>
      </c>
    </row>
    <row r="16">
      <c r="A16" s="2">
        <f>IFERROR(__xludf.DUMMYFUNCTION("""COMPUTED_VALUE"""),45607.99861111111)</f>
        <v>45607.99861</v>
      </c>
      <c r="B16" s="1">
        <f>IFERROR(__xludf.DUMMYFUNCTION("""COMPUTED_VALUE"""),3180.687153)</f>
        <v>3180.687153</v>
      </c>
    </row>
    <row r="17">
      <c r="A17" s="2">
        <f>IFERROR(__xludf.DUMMYFUNCTION("""COMPUTED_VALUE"""),45608.99861111111)</f>
        <v>45608.99861</v>
      </c>
      <c r="B17" s="1">
        <f>IFERROR(__xludf.DUMMYFUNCTION("""COMPUTED_VALUE"""),3327.016823)</f>
        <v>3327.016823</v>
      </c>
    </row>
    <row r="18">
      <c r="A18" s="2">
        <f>IFERROR(__xludf.DUMMYFUNCTION("""COMPUTED_VALUE"""),45609.99861111111)</f>
        <v>45609.99861</v>
      </c>
      <c r="B18" s="1">
        <f>IFERROR(__xludf.DUMMYFUNCTION("""COMPUTED_VALUE"""),3187.870553)</f>
        <v>3187.870553</v>
      </c>
    </row>
    <row r="19">
      <c r="A19" s="2">
        <f>IFERROR(__xludf.DUMMYFUNCTION("""COMPUTED_VALUE"""),45610.99861111111)</f>
        <v>45610.99861</v>
      </c>
      <c r="B19" s="1">
        <f>IFERROR(__xludf.DUMMYFUNCTION("""COMPUTED_VALUE"""),3233.591293)</f>
        <v>3233.591293</v>
      </c>
    </row>
    <row r="20">
      <c r="A20" s="2">
        <f>IFERROR(__xludf.DUMMYFUNCTION("""COMPUTED_VALUE"""),45611.99861111111)</f>
        <v>45611.99861</v>
      </c>
      <c r="B20" s="1">
        <f>IFERROR(__xludf.DUMMYFUNCTION("""COMPUTED_VALUE"""),3025.640501)</f>
        <v>3025.640501</v>
      </c>
    </row>
    <row r="21">
      <c r="A21" s="2">
        <f>IFERROR(__xludf.DUMMYFUNCTION("""COMPUTED_VALUE"""),45612.99861111111)</f>
        <v>45612.99861</v>
      </c>
      <c r="B21" s="1">
        <f>IFERROR(__xludf.DUMMYFUNCTION("""COMPUTED_VALUE"""),3130.4645)</f>
        <v>3130.4645</v>
      </c>
    </row>
    <row r="22">
      <c r="A22" s="2">
        <f>IFERROR(__xludf.DUMMYFUNCTION("""COMPUTED_VALUE"""),45613.99861111111)</f>
        <v>45613.99861</v>
      </c>
      <c r="B22" s="1">
        <f>IFERROR(__xludf.DUMMYFUNCTION("""COMPUTED_VALUE"""),3108.877856)</f>
        <v>3108.877856</v>
      </c>
    </row>
    <row r="23">
      <c r="A23" s="2">
        <f>IFERROR(__xludf.DUMMYFUNCTION("""COMPUTED_VALUE"""),45614.99861111111)</f>
        <v>45614.99861</v>
      </c>
      <c r="B23" s="1">
        <f>IFERROR(__xludf.DUMMYFUNCTION("""COMPUTED_VALUE"""),3099.504953)</f>
        <v>3099.504953</v>
      </c>
    </row>
    <row r="24">
      <c r="A24" s="2">
        <f>IFERROR(__xludf.DUMMYFUNCTION("""COMPUTED_VALUE"""),45615.99861111111)</f>
        <v>45615.99861</v>
      </c>
      <c r="B24" s="1">
        <f>IFERROR(__xludf.DUMMYFUNCTION("""COMPUTED_VALUE"""),3128.586586)</f>
        <v>3128.586586</v>
      </c>
    </row>
    <row r="25">
      <c r="A25" s="2">
        <f>IFERROR(__xludf.DUMMYFUNCTION("""COMPUTED_VALUE"""),45616.99861111111)</f>
        <v>45616.99861</v>
      </c>
      <c r="B25" s="1">
        <f>IFERROR(__xludf.DUMMYFUNCTION("""COMPUTED_VALUE"""),3099.944448)</f>
        <v>3099.944448</v>
      </c>
    </row>
    <row r="26">
      <c r="A26" s="2">
        <f>IFERROR(__xludf.DUMMYFUNCTION("""COMPUTED_VALUE"""),45617.99861111111)</f>
        <v>45617.99861</v>
      </c>
      <c r="B26" s="1">
        <f>IFERROR(__xludf.DUMMYFUNCTION("""COMPUTED_VALUE"""),3129.351686)</f>
        <v>3129.351686</v>
      </c>
    </row>
    <row r="27">
      <c r="A27" s="2">
        <f>IFERROR(__xludf.DUMMYFUNCTION("""COMPUTED_VALUE"""),45618.99861111111)</f>
        <v>45618.99861</v>
      </c>
      <c r="B27" s="1">
        <f>IFERROR(__xludf.DUMMYFUNCTION("""COMPUTED_VALUE"""),3387.343773)</f>
        <v>3387.343773</v>
      </c>
    </row>
    <row r="28">
      <c r="A28" s="2">
        <f>IFERROR(__xludf.DUMMYFUNCTION("""COMPUTED_VALUE"""),45619.99861111111)</f>
        <v>45619.99861</v>
      </c>
      <c r="B28" s="1">
        <f>IFERROR(__xludf.DUMMYFUNCTION("""COMPUTED_VALUE"""),3348.705825)</f>
        <v>3348.705825</v>
      </c>
    </row>
    <row r="29">
      <c r="A29" s="2">
        <f>IFERROR(__xludf.DUMMYFUNCTION("""COMPUTED_VALUE"""),45620.99861111111)</f>
        <v>45620.99861</v>
      </c>
      <c r="B29" s="1">
        <f>IFERROR(__xludf.DUMMYFUNCTION("""COMPUTED_VALUE"""),3410.690964)</f>
        <v>3410.690964</v>
      </c>
    </row>
    <row r="30">
      <c r="A30" s="2">
        <f>IFERROR(__xludf.DUMMYFUNCTION("""COMPUTED_VALUE"""),45621.99861111111)</f>
        <v>45621.99861</v>
      </c>
      <c r="B30" s="1">
        <f>IFERROR(__xludf.DUMMYFUNCTION("""COMPUTED_VALUE"""),3366.259301)</f>
        <v>3366.259301</v>
      </c>
    </row>
    <row r="31">
      <c r="A31" s="2">
        <f>IFERROR(__xludf.DUMMYFUNCTION("""COMPUTED_VALUE"""),45622.99861111111)</f>
        <v>45622.99861</v>
      </c>
      <c r="B31" s="1">
        <f>IFERROR(__xludf.DUMMYFUNCTION("""COMPUTED_VALUE"""),3418.740863)</f>
        <v>3418.740863</v>
      </c>
    </row>
    <row r="32">
      <c r="A32" s="2">
        <f>IFERROR(__xludf.DUMMYFUNCTION("""COMPUTED_VALUE"""),45623.99861111111)</f>
        <v>45623.99861</v>
      </c>
      <c r="B32" s="1">
        <f>IFERROR(__xludf.DUMMYFUNCTION("""COMPUTED_VALUE"""),3398.309366)</f>
        <v>3398.309366</v>
      </c>
    </row>
    <row r="33">
      <c r="A33" s="2">
        <f>IFERROR(__xludf.DUMMYFUNCTION("""COMPUTED_VALUE"""),45624.99861111111)</f>
        <v>45624.99861</v>
      </c>
      <c r="B33" s="1">
        <f>IFERROR(__xludf.DUMMYFUNCTION("""COMPUTED_VALUE"""),3605.016794)</f>
        <v>3605.016794</v>
      </c>
    </row>
    <row r="34">
      <c r="A34" s="2">
        <f>IFERROR(__xludf.DUMMYFUNCTION("""COMPUTED_VALUE"""),45625.99861111111)</f>
        <v>45625.99861</v>
      </c>
      <c r="B34" s="1">
        <f>IFERROR(__xludf.DUMMYFUNCTION("""COMPUTED_VALUE"""),3577.515575)</f>
        <v>3577.515575</v>
      </c>
    </row>
    <row r="35">
      <c r="A35" s="2">
        <f>IFERROR(__xludf.DUMMYFUNCTION("""COMPUTED_VALUE"""),45626.99861111111)</f>
        <v>45626.99861</v>
      </c>
      <c r="B35" s="1">
        <f>IFERROR(__xludf.DUMMYFUNCTION("""COMPUTED_VALUE"""),3649.351771)</f>
        <v>3649.351771</v>
      </c>
    </row>
    <row r="36">
      <c r="A36" s="2">
        <f>IFERROR(__xludf.DUMMYFUNCTION("""COMPUTED_VALUE"""),45627.99861111111)</f>
        <v>45627.99861</v>
      </c>
      <c r="B36" s="1">
        <f>IFERROR(__xludf.DUMMYFUNCTION("""COMPUTED_VALUE"""),3701.05121)</f>
        <v>3701.05121</v>
      </c>
    </row>
    <row r="37">
      <c r="A37" s="2">
        <f>IFERROR(__xludf.DUMMYFUNCTION("""COMPUTED_VALUE"""),45628.99861111111)</f>
        <v>45628.99861</v>
      </c>
      <c r="B37" s="1">
        <f>IFERROR(__xludf.DUMMYFUNCTION("""COMPUTED_VALUE"""),3690.740383)</f>
        <v>3690.740383</v>
      </c>
    </row>
    <row r="38">
      <c r="A38" s="2">
        <f>IFERROR(__xludf.DUMMYFUNCTION("""COMPUTED_VALUE"""),45629.99861111111)</f>
        <v>45629.99861</v>
      </c>
      <c r="B38" s="1">
        <f>IFERROR(__xludf.DUMMYFUNCTION("""COMPUTED_VALUE"""),3643.573082)</f>
        <v>3643.573082</v>
      </c>
    </row>
    <row r="39">
      <c r="A39" s="2">
        <f>IFERROR(__xludf.DUMMYFUNCTION("""COMPUTED_VALUE"""),45630.99861111111)</f>
        <v>45630.99861</v>
      </c>
      <c r="B39" s="1">
        <f>IFERROR(__xludf.DUMMYFUNCTION("""COMPUTED_VALUE"""),3667.613767)</f>
        <v>3667.613767</v>
      </c>
    </row>
    <row r="40">
      <c r="A40" s="2">
        <f>IFERROR(__xludf.DUMMYFUNCTION("""COMPUTED_VALUE"""),45631.99861111111)</f>
        <v>45631.99861</v>
      </c>
      <c r="B40" s="1">
        <f>IFERROR(__xludf.DUMMYFUNCTION("""COMPUTED_VALUE"""),3852.900899)</f>
        <v>3852.900899</v>
      </c>
    </row>
    <row r="41">
      <c r="A41" s="2">
        <f>IFERROR(__xludf.DUMMYFUNCTION("""COMPUTED_VALUE"""),45632.99861111111)</f>
        <v>45632.99861</v>
      </c>
      <c r="B41" s="1">
        <f>IFERROR(__xludf.DUMMYFUNCTION("""COMPUTED_VALUE"""),3903.97)</f>
        <v>3903.97</v>
      </c>
    </row>
    <row r="42">
      <c r="A42" s="2">
        <f>IFERROR(__xludf.DUMMYFUNCTION("""COMPUTED_VALUE"""),45633.99861111111)</f>
        <v>45633.99861</v>
      </c>
      <c r="B42" s="1">
        <f>IFERROR(__xludf.DUMMYFUNCTION("""COMPUTED_VALUE"""),4001.670829)</f>
        <v>4001.670829</v>
      </c>
    </row>
    <row r="43">
      <c r="A43" s="2">
        <f>IFERROR(__xludf.DUMMYFUNCTION("""COMPUTED_VALUE"""),45634.99861111111)</f>
        <v>45634.99861</v>
      </c>
      <c r="B43" s="1">
        <f>IFERROR(__xludf.DUMMYFUNCTION("""COMPUTED_VALUE"""),3980.629395)</f>
        <v>3980.629395</v>
      </c>
    </row>
    <row r="44">
      <c r="A44" s="2">
        <f>IFERROR(__xludf.DUMMYFUNCTION("""COMPUTED_VALUE"""),45635.99861111111)</f>
        <v>45635.99861</v>
      </c>
      <c r="B44" s="1">
        <f>IFERROR(__xludf.DUMMYFUNCTION("""COMPUTED_VALUE"""),3938.791209)</f>
        <v>3938.791209</v>
      </c>
    </row>
    <row r="45">
      <c r="A45" s="2">
        <f>IFERROR(__xludf.DUMMYFUNCTION("""COMPUTED_VALUE"""),45636.99861111111)</f>
        <v>45636.99861</v>
      </c>
      <c r="B45" s="1">
        <f>IFERROR(__xludf.DUMMYFUNCTION("""COMPUTED_VALUE"""),3709.167338)</f>
        <v>3709.167338</v>
      </c>
    </row>
    <row r="46">
      <c r="A46" s="2">
        <f>IFERROR(__xludf.DUMMYFUNCTION("""COMPUTED_VALUE"""),45637.99861111111)</f>
        <v>45637.99861</v>
      </c>
      <c r="B46" s="1">
        <f>IFERROR(__xludf.DUMMYFUNCTION("""COMPUTED_VALUE"""),3669.558587)</f>
        <v>3669.558587</v>
      </c>
    </row>
    <row r="47">
      <c r="A47" s="2">
        <f>IFERROR(__xludf.DUMMYFUNCTION("""COMPUTED_VALUE"""),45638.99861111111)</f>
        <v>45638.99861</v>
      </c>
      <c r="B47" s="1">
        <f>IFERROR(__xludf.DUMMYFUNCTION("""COMPUTED_VALUE"""),3906.812707)</f>
        <v>3906.812707</v>
      </c>
    </row>
    <row r="48">
      <c r="A48" s="2">
        <f>IFERROR(__xludf.DUMMYFUNCTION("""COMPUTED_VALUE"""),45639.99861111111)</f>
        <v>45639.99861</v>
      </c>
      <c r="B48" s="1">
        <f>IFERROR(__xludf.DUMMYFUNCTION("""COMPUTED_VALUE"""),3915.575542)</f>
        <v>3915.575542</v>
      </c>
    </row>
    <row r="49">
      <c r="A49" s="2">
        <f>IFERROR(__xludf.DUMMYFUNCTION("""COMPUTED_VALUE"""),45640.99861111111)</f>
        <v>45640.99861</v>
      </c>
      <c r="B49" s="1">
        <f>IFERROR(__xludf.DUMMYFUNCTION("""COMPUTED_VALUE"""),3913.275865)</f>
        <v>3913.275865</v>
      </c>
    </row>
    <row r="50">
      <c r="A50" s="2">
        <f>IFERROR(__xludf.DUMMYFUNCTION("""COMPUTED_VALUE"""),45641.99861111111)</f>
        <v>45641.99861</v>
      </c>
      <c r="B50" s="1">
        <f>IFERROR(__xludf.DUMMYFUNCTION("""COMPUTED_VALUE"""),3890.689573)</f>
        <v>3890.689573</v>
      </c>
    </row>
    <row r="51">
      <c r="A51" s="2">
        <f>IFERROR(__xludf.DUMMYFUNCTION("""COMPUTED_VALUE"""),45642.99861111111)</f>
        <v>45642.99861</v>
      </c>
      <c r="B51" s="1">
        <f>IFERROR(__xludf.DUMMYFUNCTION("""COMPUTED_VALUE"""),3949.7656)</f>
        <v>3949.7656</v>
      </c>
    </row>
    <row r="52">
      <c r="A52" s="2">
        <f>IFERROR(__xludf.DUMMYFUNCTION("""COMPUTED_VALUE"""),45643.99861111111)</f>
        <v>45643.99861</v>
      </c>
      <c r="B52" s="1">
        <f>IFERROR(__xludf.DUMMYFUNCTION("""COMPUTED_VALUE"""),4002.974572)</f>
        <v>4002.974572</v>
      </c>
    </row>
    <row r="53">
      <c r="A53" s="2">
        <f>IFERROR(__xludf.DUMMYFUNCTION("""COMPUTED_VALUE"""),45644.99861111111)</f>
        <v>45644.99861</v>
      </c>
      <c r="B53" s="1">
        <f>IFERROR(__xludf.DUMMYFUNCTION("""COMPUTED_VALUE"""),3838.20916)</f>
        <v>3838.20916</v>
      </c>
    </row>
    <row r="54">
      <c r="A54" s="2">
        <f>IFERROR(__xludf.DUMMYFUNCTION("""COMPUTED_VALUE"""),45645.99861111111)</f>
        <v>45645.99861</v>
      </c>
      <c r="B54" s="1">
        <f>IFERROR(__xludf.DUMMYFUNCTION("""COMPUTED_VALUE"""),3651.142197)</f>
        <v>3651.142197</v>
      </c>
    </row>
    <row r="55">
      <c r="A55" s="2">
        <f>IFERROR(__xludf.DUMMYFUNCTION("""COMPUTED_VALUE"""),45646.99861111111)</f>
        <v>45646.99861</v>
      </c>
      <c r="B55" s="1">
        <f>IFERROR(__xludf.DUMMYFUNCTION("""COMPUTED_VALUE"""),3394.298772)</f>
        <v>3394.298772</v>
      </c>
    </row>
    <row r="56">
      <c r="A56" s="2">
        <f>IFERROR(__xludf.DUMMYFUNCTION("""COMPUTED_VALUE"""),45647.99861111111)</f>
        <v>45647.99861</v>
      </c>
      <c r="B56" s="1">
        <f>IFERROR(__xludf.DUMMYFUNCTION("""COMPUTED_VALUE"""),3483.067219)</f>
        <v>3483.067219</v>
      </c>
    </row>
    <row r="57">
      <c r="A57" s="2">
        <f>IFERROR(__xludf.DUMMYFUNCTION("""COMPUTED_VALUE"""),45648.99861111111)</f>
        <v>45648.99861</v>
      </c>
      <c r="B57" s="1">
        <f>IFERROR(__xludf.DUMMYFUNCTION("""COMPUTED_VALUE"""),3315.862034)</f>
        <v>3315.862034</v>
      </c>
    </row>
    <row r="58">
      <c r="A58" s="2">
        <f>IFERROR(__xludf.DUMMYFUNCTION("""COMPUTED_VALUE"""),45649.99861111111)</f>
        <v>45649.99861</v>
      </c>
      <c r="B58" s="1">
        <f>IFERROR(__xludf.DUMMYFUNCTION("""COMPUTED_VALUE"""),3323.314503)</f>
        <v>3323.314503</v>
      </c>
    </row>
    <row r="59">
      <c r="A59" s="2">
        <f>IFERROR(__xludf.DUMMYFUNCTION("""COMPUTED_VALUE"""),45650.99861111111)</f>
        <v>45650.99861</v>
      </c>
      <c r="B59" s="1">
        <f>IFERROR(__xludf.DUMMYFUNCTION("""COMPUTED_VALUE"""),3406.439314)</f>
        <v>3406.439314</v>
      </c>
    </row>
    <row r="60">
      <c r="A60" s="2">
        <f>IFERROR(__xludf.DUMMYFUNCTION("""COMPUTED_VALUE"""),45651.99861111111)</f>
        <v>45651.99861</v>
      </c>
      <c r="B60" s="1">
        <f>IFERROR(__xludf.DUMMYFUNCTION("""COMPUTED_VALUE"""),3486.313837)</f>
        <v>3486.313837</v>
      </c>
    </row>
    <row r="61">
      <c r="A61" s="2">
        <f>IFERROR(__xludf.DUMMYFUNCTION("""COMPUTED_VALUE"""),45652.99861111111)</f>
        <v>45652.99861</v>
      </c>
      <c r="B61" s="1">
        <f>IFERROR(__xludf.DUMMYFUNCTION("""COMPUTED_VALUE"""),3439.867603)</f>
        <v>3439.867603</v>
      </c>
    </row>
    <row r="62">
      <c r="A62" s="2">
        <f>IFERROR(__xludf.DUMMYFUNCTION("""COMPUTED_VALUE"""),45653.99861111111)</f>
        <v>45653.99861</v>
      </c>
      <c r="B62" s="1">
        <f>IFERROR(__xludf.DUMMYFUNCTION("""COMPUTED_VALUE"""),3372.443081)</f>
        <v>3372.443081</v>
      </c>
    </row>
    <row r="63">
      <c r="A63" s="2">
        <f>IFERROR(__xludf.DUMMYFUNCTION("""COMPUTED_VALUE"""),45654.99861111111)</f>
        <v>45654.99861</v>
      </c>
      <c r="B63" s="1">
        <f>IFERROR(__xludf.DUMMYFUNCTION("""COMPUTED_VALUE"""),3341.507708)</f>
        <v>3341.507708</v>
      </c>
    </row>
    <row r="64">
      <c r="A64" s="2">
        <f>IFERROR(__xludf.DUMMYFUNCTION("""COMPUTED_VALUE"""),45655.99861111111)</f>
        <v>45655.99861</v>
      </c>
      <c r="B64" s="1">
        <f>IFERROR(__xludf.DUMMYFUNCTION("""COMPUTED_VALUE"""),3382.802215)</f>
        <v>3382.802215</v>
      </c>
    </row>
    <row r="65">
      <c r="A65" s="2">
        <f>IFERROR(__xludf.DUMMYFUNCTION("""COMPUTED_VALUE"""),45656.99861111111)</f>
        <v>45656.99861</v>
      </c>
      <c r="B65" s="1">
        <f>IFERROR(__xludf.DUMMYFUNCTION("""COMPUTED_VALUE"""),3386.315507)</f>
        <v>3386.315507</v>
      </c>
    </row>
    <row r="66">
      <c r="A66" s="2">
        <f>IFERROR(__xludf.DUMMYFUNCTION("""COMPUTED_VALUE"""),45657.99861111111)</f>
        <v>45657.99861</v>
      </c>
      <c r="B66" s="1">
        <f>IFERROR(__xludf.DUMMYFUNCTION("""COMPUTED_VALUE"""),3330.00409)</f>
        <v>3330.00409</v>
      </c>
    </row>
    <row r="67">
      <c r="A67" s="2">
        <f>IFERROR(__xludf.DUMMYFUNCTION("""COMPUTED_VALUE"""),45658.99861111111)</f>
        <v>45658.99861</v>
      </c>
      <c r="B67" s="1">
        <f>IFERROR(__xludf.DUMMYFUNCTION("""COMPUTED_VALUE"""),3335.911915)</f>
        <v>3335.911915</v>
      </c>
    </row>
    <row r="68">
      <c r="A68" s="2">
        <f>IFERROR(__xludf.DUMMYFUNCTION("""COMPUTED_VALUE"""),45659.99861111111)</f>
        <v>45659.99861</v>
      </c>
      <c r="B68" s="1">
        <f>IFERROR(__xludf.DUMMYFUNCTION("""COMPUTED_VALUE"""),3411.808508)</f>
        <v>3411.808508</v>
      </c>
    </row>
    <row r="69">
      <c r="A69" s="2">
        <f>IFERROR(__xludf.DUMMYFUNCTION("""COMPUTED_VALUE"""),45660.99861111111)</f>
        <v>45660.99861</v>
      </c>
      <c r="B69" s="1">
        <f>IFERROR(__xludf.DUMMYFUNCTION("""COMPUTED_VALUE"""),3454.911051)</f>
        <v>3454.911051</v>
      </c>
    </row>
    <row r="70">
      <c r="A70" s="2">
        <f>IFERROR(__xludf.DUMMYFUNCTION("""COMPUTED_VALUE"""),45661.99861111111)</f>
        <v>45661.99861</v>
      </c>
      <c r="B70" s="1">
        <f>IFERROR(__xludf.DUMMYFUNCTION("""COMPUTED_VALUE"""),3587.242568)</f>
        <v>3587.242568</v>
      </c>
    </row>
    <row r="71">
      <c r="A71" s="2">
        <f>IFERROR(__xludf.DUMMYFUNCTION("""COMPUTED_VALUE"""),45662.99861111111)</f>
        <v>45662.99861</v>
      </c>
      <c r="B71" s="1">
        <f>IFERROR(__xludf.DUMMYFUNCTION("""COMPUTED_VALUE"""),3642.222561)</f>
        <v>3642.222561</v>
      </c>
    </row>
    <row r="72">
      <c r="A72" s="2">
        <f>IFERROR(__xludf.DUMMYFUNCTION("""COMPUTED_VALUE"""),45663.99861111111)</f>
        <v>45663.99861</v>
      </c>
      <c r="B72" s="1">
        <f>IFERROR(__xludf.DUMMYFUNCTION("""COMPUTED_VALUE"""),3671.180007)</f>
        <v>3671.180007</v>
      </c>
    </row>
    <row r="73">
      <c r="A73" s="2">
        <f>IFERROR(__xludf.DUMMYFUNCTION("""COMPUTED_VALUE"""),45664.99861111111)</f>
        <v>45664.99861</v>
      </c>
      <c r="B73" s="1">
        <f>IFERROR(__xludf.DUMMYFUNCTION("""COMPUTED_VALUE"""),3675.036444)</f>
        <v>3675.036444</v>
      </c>
    </row>
    <row r="74">
      <c r="A74" s="2">
        <f>IFERROR(__xludf.DUMMYFUNCTION("""COMPUTED_VALUE"""),45665.99861111111)</f>
        <v>45665.99861</v>
      </c>
      <c r="B74" s="1">
        <f>IFERROR(__xludf.DUMMYFUNCTION("""COMPUTED_VALUE"""),3346.588535)</f>
        <v>3346.588535</v>
      </c>
    </row>
    <row r="75">
      <c r="A75" s="2">
        <f>IFERROR(__xludf.DUMMYFUNCTION("""COMPUTED_VALUE"""),45666.99861111111)</f>
        <v>45666.99861</v>
      </c>
      <c r="B75" s="1">
        <f>IFERROR(__xludf.DUMMYFUNCTION("""COMPUTED_VALUE"""),3337.633558)</f>
        <v>3337.633558</v>
      </c>
    </row>
    <row r="76">
      <c r="A76" s="2">
        <f>IFERROR(__xludf.DUMMYFUNCTION("""COMPUTED_VALUE"""),45667.99861111111)</f>
        <v>45667.99861</v>
      </c>
      <c r="B76" s="1">
        <f>IFERROR(__xludf.DUMMYFUNCTION("""COMPUTED_VALUE"""),3252.784523)</f>
        <v>3252.784523</v>
      </c>
    </row>
    <row r="77">
      <c r="A77" s="2">
        <f>IFERROR(__xludf.DUMMYFUNCTION("""COMPUTED_VALUE"""),45668.99861111111)</f>
        <v>45668.99861</v>
      </c>
      <c r="B77" s="1">
        <f>IFERROR(__xludf.DUMMYFUNCTION("""COMPUTED_VALUE"""),3237.248049)</f>
        <v>3237.248049</v>
      </c>
    </row>
    <row r="78">
      <c r="A78" s="2">
        <f>IFERROR(__xludf.DUMMYFUNCTION("""COMPUTED_VALUE"""),45669.99861111111)</f>
        <v>45669.99861</v>
      </c>
      <c r="B78" s="1">
        <f>IFERROR(__xludf.DUMMYFUNCTION("""COMPUTED_VALUE"""),3282.065897)</f>
        <v>3282.065897</v>
      </c>
    </row>
    <row r="79">
      <c r="A79" s="2">
        <f>IFERROR(__xludf.DUMMYFUNCTION("""COMPUTED_VALUE"""),45670.99861111111)</f>
        <v>45670.99861</v>
      </c>
      <c r="B79" s="1">
        <f>IFERROR(__xludf.DUMMYFUNCTION("""COMPUTED_VALUE"""),3241.301297)</f>
        <v>3241.301297</v>
      </c>
    </row>
    <row r="80">
      <c r="A80" s="2">
        <f>IFERROR(__xludf.DUMMYFUNCTION("""COMPUTED_VALUE"""),45671.99861111111)</f>
        <v>45671.99861</v>
      </c>
      <c r="B80" s="1">
        <f>IFERROR(__xludf.DUMMYFUNCTION("""COMPUTED_VALUE"""),3170.886905)</f>
        <v>3170.886905</v>
      </c>
    </row>
    <row r="81">
      <c r="A81" s="2">
        <f>IFERROR(__xludf.DUMMYFUNCTION("""COMPUTED_VALUE"""),45672.99861111111)</f>
        <v>45672.99861</v>
      </c>
      <c r="B81" s="1">
        <f>IFERROR(__xludf.DUMMYFUNCTION("""COMPUTED_VALUE"""),3225.404814)</f>
        <v>3225.404814</v>
      </c>
    </row>
    <row r="82">
      <c r="A82" s="2">
        <f>IFERROR(__xludf.DUMMYFUNCTION("""COMPUTED_VALUE"""),45673.99861111111)</f>
        <v>45673.99861</v>
      </c>
      <c r="B82" s="1">
        <f>IFERROR(__xludf.DUMMYFUNCTION("""COMPUTED_VALUE"""),3371.784085)</f>
        <v>3371.784085</v>
      </c>
    </row>
    <row r="83">
      <c r="A83" s="2">
        <f>IFERROR(__xludf.DUMMYFUNCTION("""COMPUTED_VALUE"""),45674.99861111111)</f>
        <v>45674.99861</v>
      </c>
      <c r="B83" s="1">
        <f>IFERROR(__xludf.DUMMYFUNCTION("""COMPUTED_VALUE"""),3366.991812)</f>
        <v>3366.991812</v>
      </c>
    </row>
    <row r="84">
      <c r="A84" s="2">
        <f>IFERROR(__xludf.DUMMYFUNCTION("""COMPUTED_VALUE"""),45675.99861111111)</f>
        <v>45675.99861</v>
      </c>
      <c r="B84" s="1">
        <f>IFERROR(__xludf.DUMMYFUNCTION("""COMPUTED_VALUE"""),3364.297733)</f>
        <v>3364.297733</v>
      </c>
    </row>
    <row r="85">
      <c r="A85" s="2">
        <f>IFERROR(__xludf.DUMMYFUNCTION("""COMPUTED_VALUE"""),45676.99861111111)</f>
        <v>45676.99861</v>
      </c>
      <c r="B85" s="1">
        <f>IFERROR(__xludf.DUMMYFUNCTION("""COMPUTED_VALUE"""),3275.841966)</f>
        <v>3275.841966</v>
      </c>
    </row>
    <row r="86">
      <c r="A86" s="2">
        <f>IFERROR(__xludf.DUMMYFUNCTION("""COMPUTED_VALUE"""),45677.99861111111)</f>
        <v>45677.99861</v>
      </c>
      <c r="B86" s="1">
        <f>IFERROR(__xludf.DUMMYFUNCTION("""COMPUTED_VALUE"""),3269.73911)</f>
        <v>3269.73911</v>
      </c>
    </row>
    <row r="87">
      <c r="A87" s="2">
        <f>IFERROR(__xludf.DUMMYFUNCTION("""COMPUTED_VALUE"""),45678.99861111111)</f>
        <v>45678.99861</v>
      </c>
      <c r="B87" s="1">
        <f>IFERROR(__xludf.DUMMYFUNCTION("""COMPUTED_VALUE"""),3242.727809)</f>
        <v>3242.727809</v>
      </c>
    </row>
    <row r="88">
      <c r="A88" s="2">
        <f>IFERROR(__xludf.DUMMYFUNCTION("""COMPUTED_VALUE"""),45679.99861111111)</f>
        <v>45679.99861</v>
      </c>
      <c r="B88" s="1">
        <f>IFERROR(__xludf.DUMMYFUNCTION("""COMPUTED_VALUE"""),3330.179506)</f>
        <v>3330.179506</v>
      </c>
    </row>
    <row r="89">
      <c r="A89" s="2">
        <f>IFERROR(__xludf.DUMMYFUNCTION("""COMPUTED_VALUE"""),45680.99861111111)</f>
        <v>45680.99861</v>
      </c>
      <c r="B89" s="1">
        <f>IFERROR(__xludf.DUMMYFUNCTION("""COMPUTED_VALUE"""),3193.521075)</f>
        <v>3193.521075</v>
      </c>
    </row>
    <row r="90">
      <c r="A90" s="2">
        <f>IFERROR(__xludf.DUMMYFUNCTION("""COMPUTED_VALUE"""),45681.99861111111)</f>
        <v>45681.99861</v>
      </c>
      <c r="B90" s="1">
        <f>IFERROR(__xludf.DUMMYFUNCTION("""COMPUTED_VALUE"""),3330.438204)</f>
        <v>3330.438204</v>
      </c>
    </row>
    <row r="91">
      <c r="A91" s="2">
        <f>IFERROR(__xludf.DUMMYFUNCTION("""COMPUTED_VALUE"""),45682.99861111111)</f>
        <v>45682.99861</v>
      </c>
      <c r="B91" s="1">
        <f>IFERROR(__xludf.DUMMYFUNCTION("""COMPUTED_VALUE"""),3299.973916)</f>
        <v>3299.973916</v>
      </c>
    </row>
    <row r="92">
      <c r="A92" s="2">
        <f>IFERROR(__xludf.DUMMYFUNCTION("""COMPUTED_VALUE"""),45683.99861111111)</f>
        <v>45683.99861</v>
      </c>
      <c r="B92" s="1">
        <f>IFERROR(__xludf.DUMMYFUNCTION("""COMPUTED_VALUE"""),3351.451355)</f>
        <v>3351.451355</v>
      </c>
    </row>
    <row r="93">
      <c r="A93" s="2">
        <f>IFERROR(__xludf.DUMMYFUNCTION("""COMPUTED_VALUE"""),45684.99861111111)</f>
        <v>45684.99861</v>
      </c>
      <c r="B93" s="1">
        <f>IFERROR(__xludf.DUMMYFUNCTION("""COMPUTED_VALUE"""),3157.461126)</f>
        <v>3157.461126</v>
      </c>
    </row>
    <row r="94">
      <c r="A94" s="2">
        <f>IFERROR(__xludf.DUMMYFUNCTION("""COMPUTED_VALUE"""),45685.99861111111)</f>
        <v>45685.99861</v>
      </c>
      <c r="B94" s="1">
        <f>IFERROR(__xludf.DUMMYFUNCTION("""COMPUTED_VALUE"""),3210.889447)</f>
        <v>3210.889447</v>
      </c>
    </row>
    <row r="95">
      <c r="A95" s="2">
        <f>IFERROR(__xludf.DUMMYFUNCTION("""COMPUTED_VALUE"""),45686.99861111111)</f>
        <v>45686.99861</v>
      </c>
      <c r="B95" s="1">
        <f>IFERROR(__xludf.DUMMYFUNCTION("""COMPUTED_VALUE"""),3124.016092)</f>
        <v>3124.016092</v>
      </c>
    </row>
    <row r="96">
      <c r="A96" s="2">
        <f>IFERROR(__xludf.DUMMYFUNCTION("""COMPUTED_VALUE"""),45687.99861111111)</f>
        <v>45687.99861</v>
      </c>
      <c r="B96" s="1">
        <f>IFERROR(__xludf.DUMMYFUNCTION("""COMPUTED_VALUE"""),3196.147687)</f>
        <v>3196.147687</v>
      </c>
    </row>
    <row r="97">
      <c r="A97" s="2">
        <f>IFERROR(__xludf.DUMMYFUNCTION("""COMPUTED_VALUE"""),45688.99861111111)</f>
        <v>45688.99861</v>
      </c>
      <c r="B97" s="1">
        <f>IFERROR(__xludf.DUMMYFUNCTION("""COMPUTED_VALUE"""),3216.665596)</f>
        <v>3216.665596</v>
      </c>
    </row>
    <row r="98">
      <c r="A98" s="2">
        <f>IFERROR(__xludf.DUMMYFUNCTION("""COMPUTED_VALUE"""),45689.99861111111)</f>
        <v>45689.99861</v>
      </c>
      <c r="B98" s="1">
        <f>IFERROR(__xludf.DUMMYFUNCTION("""COMPUTED_VALUE"""),3293.579659)</f>
        <v>3293.579659</v>
      </c>
    </row>
    <row r="99">
      <c r="A99" s="2">
        <f>IFERROR(__xludf.DUMMYFUNCTION("""COMPUTED_VALUE"""),45690.99861111111)</f>
        <v>45690.99861</v>
      </c>
      <c r="B99" s="1">
        <f>IFERROR(__xludf.DUMMYFUNCTION("""COMPUTED_VALUE"""),3099.101934)</f>
        <v>3099.101934</v>
      </c>
    </row>
    <row r="100">
      <c r="A100" s="2">
        <f>IFERROR(__xludf.DUMMYFUNCTION("""COMPUTED_VALUE"""),45691.99861111111)</f>
        <v>45691.99861</v>
      </c>
      <c r="B100" s="1">
        <f>IFERROR(__xludf.DUMMYFUNCTION("""COMPUTED_VALUE"""),2457.034909)</f>
        <v>2457.034909</v>
      </c>
    </row>
    <row r="101">
      <c r="A101" s="2">
        <f>IFERROR(__xludf.DUMMYFUNCTION("""COMPUTED_VALUE"""),45692.99861111111)</f>
        <v>45692.99861</v>
      </c>
      <c r="B101" s="1">
        <f>IFERROR(__xludf.DUMMYFUNCTION("""COMPUTED_VALUE"""),2802.344021)</f>
        <v>2802.344021</v>
      </c>
    </row>
    <row r="102">
      <c r="A102" s="2">
        <f>IFERROR(__xludf.DUMMYFUNCTION("""COMPUTED_VALUE"""),45693.99861111111)</f>
        <v>45693.99861</v>
      </c>
      <c r="B102" s="1">
        <f>IFERROR(__xludf.DUMMYFUNCTION("""COMPUTED_VALUE"""),2730.301341)</f>
        <v>2730.301341</v>
      </c>
    </row>
    <row r="103">
      <c r="A103" s="2">
        <f>IFERROR(__xludf.DUMMYFUNCTION("""COMPUTED_VALUE"""),45694.99861111111)</f>
        <v>45694.99861</v>
      </c>
      <c r="B103" s="1">
        <f>IFERROR(__xludf.DUMMYFUNCTION("""COMPUTED_VALUE"""),2821.565632)</f>
        <v>2821.565632</v>
      </c>
    </row>
    <row r="104">
      <c r="A104" s="2">
        <f>IFERROR(__xludf.DUMMYFUNCTION("""COMPUTED_VALUE"""),45695.99861111111)</f>
        <v>45695.99861</v>
      </c>
      <c r="B104" s="1">
        <f>IFERROR(__xludf.DUMMYFUNCTION("""COMPUTED_VALUE"""),2722.173272)</f>
        <v>2722.173272</v>
      </c>
    </row>
    <row r="105">
      <c r="A105" s="2">
        <f>IFERROR(__xludf.DUMMYFUNCTION("""COMPUTED_VALUE"""),45696.99861111111)</f>
        <v>45696.99861</v>
      </c>
      <c r="B105" s="1">
        <f>IFERROR(__xludf.DUMMYFUNCTION("""COMPUTED_VALUE"""),2634.931968)</f>
        <v>2634.931968</v>
      </c>
    </row>
    <row r="106">
      <c r="A106" s="2">
        <f>IFERROR(__xludf.DUMMYFUNCTION("""COMPUTED_VALUE"""),45697.99861111111)</f>
        <v>45697.99861</v>
      </c>
      <c r="B106" s="1">
        <f>IFERROR(__xludf.DUMMYFUNCTION("""COMPUTED_VALUE"""),2673.293163)</f>
        <v>2673.293163</v>
      </c>
    </row>
    <row r="107">
      <c r="A107" s="2">
        <f>IFERROR(__xludf.DUMMYFUNCTION("""COMPUTED_VALUE"""),45698.99861111111)</f>
        <v>45698.99861</v>
      </c>
      <c r="B107" s="1">
        <f>IFERROR(__xludf.DUMMYFUNCTION("""COMPUTED_VALUE"""),2627.442601)</f>
        <v>2627.442601</v>
      </c>
    </row>
    <row r="108">
      <c r="A108" s="2">
        <f>IFERROR(__xludf.DUMMYFUNCTION("""COMPUTED_VALUE"""),45699.99861111111)</f>
        <v>45699.99861</v>
      </c>
      <c r="B108" s="1">
        <f>IFERROR(__xludf.DUMMYFUNCTION("""COMPUTED_VALUE"""),2692.878258)</f>
        <v>2692.878258</v>
      </c>
    </row>
    <row r="109">
      <c r="A109" s="2">
        <f>IFERROR(__xludf.DUMMYFUNCTION("""COMPUTED_VALUE"""),45700.99861111111)</f>
        <v>45700.99861</v>
      </c>
      <c r="B109" s="1">
        <f>IFERROR(__xludf.DUMMYFUNCTION("""COMPUTED_VALUE"""),2589.70479)</f>
        <v>2589.70479</v>
      </c>
    </row>
    <row r="110">
      <c r="A110" s="2">
        <f>IFERROR(__xludf.DUMMYFUNCTION("""COMPUTED_VALUE"""),45701.99861111111)</f>
        <v>45701.99861</v>
      </c>
      <c r="B110" s="1">
        <f>IFERROR(__xludf.DUMMYFUNCTION("""COMPUTED_VALUE"""),2718.760766)</f>
        <v>2718.760766</v>
      </c>
    </row>
    <row r="111">
      <c r="A111" s="2">
        <f>IFERROR(__xludf.DUMMYFUNCTION("""COMPUTED_VALUE"""),45702.99861111111)</f>
        <v>45702.99861</v>
      </c>
      <c r="B111" s="1">
        <f>IFERROR(__xludf.DUMMYFUNCTION("""COMPUTED_VALUE"""),2700.08598)</f>
        <v>2700.08598</v>
      </c>
    </row>
    <row r="112">
      <c r="A112" s="2">
        <f>IFERROR(__xludf.DUMMYFUNCTION("""COMPUTED_VALUE"""),45703.99861111111)</f>
        <v>45703.99861</v>
      </c>
      <c r="B112" s="1">
        <f>IFERROR(__xludf.DUMMYFUNCTION("""COMPUTED_VALUE"""),2720.4272)</f>
        <v>2720.4272</v>
      </c>
    </row>
    <row r="113">
      <c r="A113" s="2">
        <f>IFERROR(__xludf.DUMMYFUNCTION("""COMPUTED_VALUE"""),45704.99861111111)</f>
        <v>45704.99861</v>
      </c>
      <c r="B113" s="1">
        <f>IFERROR(__xludf.DUMMYFUNCTION("""COMPUTED_VALUE"""),2704.139035)</f>
        <v>2704.139035</v>
      </c>
    </row>
    <row r="114">
      <c r="A114" s="2">
        <f>IFERROR(__xludf.DUMMYFUNCTION("""COMPUTED_VALUE"""),45705.99861111111)</f>
        <v>45705.99861</v>
      </c>
      <c r="B114" s="1">
        <f>IFERROR(__xludf.DUMMYFUNCTION("""COMPUTED_VALUE"""),2663.872419)</f>
        <v>2663.872419</v>
      </c>
    </row>
    <row r="115">
      <c r="A115" s="2">
        <f>IFERROR(__xludf.DUMMYFUNCTION("""COMPUTED_VALUE"""),45706.99861111111)</f>
        <v>45706.99861</v>
      </c>
      <c r="B115" s="1">
        <f>IFERROR(__xludf.DUMMYFUNCTION("""COMPUTED_VALUE"""),2702.000182)</f>
        <v>2702.000182</v>
      </c>
    </row>
    <row r="116">
      <c r="A116" s="2">
        <f>IFERROR(__xludf.DUMMYFUNCTION("""COMPUTED_VALUE"""),45707.99861111111)</f>
        <v>45707.99861</v>
      </c>
      <c r="B116" s="1">
        <f>IFERROR(__xludf.DUMMYFUNCTION("""COMPUTED_VALUE"""),2669.540368)</f>
        <v>2669.540368</v>
      </c>
    </row>
    <row r="117">
      <c r="A117" s="2">
        <f>IFERROR(__xludf.DUMMYFUNCTION("""COMPUTED_VALUE"""),45708.99861111111)</f>
        <v>45708.99861</v>
      </c>
      <c r="B117" s="1">
        <f>IFERROR(__xludf.DUMMYFUNCTION("""COMPUTED_VALUE"""),2739.180029)</f>
        <v>2739.180029</v>
      </c>
    </row>
    <row r="118">
      <c r="A118" s="2">
        <f>IFERROR(__xludf.DUMMYFUNCTION("""COMPUTED_VALUE"""),45709.99861111111)</f>
        <v>45709.99861</v>
      </c>
      <c r="B118" s="1">
        <f>IFERROR(__xludf.DUMMYFUNCTION("""COMPUTED_VALUE"""),2751.688346)</f>
        <v>2751.688346</v>
      </c>
    </row>
    <row r="119">
      <c r="A119" s="2">
        <f>IFERROR(__xludf.DUMMYFUNCTION("""COMPUTED_VALUE"""),45710.99861111111)</f>
        <v>45710.99861</v>
      </c>
      <c r="B119" s="1">
        <f>IFERROR(__xludf.DUMMYFUNCTION("""COMPUTED_VALUE"""),2681.553561)</f>
        <v>2681.553561</v>
      </c>
    </row>
    <row r="120">
      <c r="A120" s="2">
        <f>IFERROR(__xludf.DUMMYFUNCTION("""COMPUTED_VALUE"""),45711.99861111111)</f>
        <v>45711.99861</v>
      </c>
      <c r="B120" s="1">
        <f>IFERROR(__xludf.DUMMYFUNCTION("""COMPUTED_VALUE"""),2762.822186)</f>
        <v>2762.822186</v>
      </c>
    </row>
    <row r="121">
      <c r="A121" s="2">
        <f>IFERROR(__xludf.DUMMYFUNCTION("""COMPUTED_VALUE"""),45712.99861111111)</f>
        <v>45712.99861</v>
      </c>
      <c r="B121" s="1">
        <f>IFERROR(__xludf.DUMMYFUNCTION("""COMPUTED_VALUE"""),2698.970138)</f>
        <v>2698.970138</v>
      </c>
    </row>
    <row r="122">
      <c r="A122" s="2">
        <f>IFERROR(__xludf.DUMMYFUNCTION("""COMPUTED_VALUE"""),45713.99861111111)</f>
        <v>45713.99861</v>
      </c>
      <c r="B122" s="1">
        <f>IFERROR(__xludf.DUMMYFUNCTION("""COMPUTED_VALUE"""),2495.06399)</f>
        <v>2495.06399</v>
      </c>
    </row>
    <row r="123">
      <c r="A123" s="2">
        <f>IFERROR(__xludf.DUMMYFUNCTION("""COMPUTED_VALUE"""),45714.99861111111)</f>
        <v>45714.99861</v>
      </c>
      <c r="B123" s="1">
        <f>IFERROR(__xludf.DUMMYFUNCTION("""COMPUTED_VALUE"""),2490.16554)</f>
        <v>2490.16554</v>
      </c>
    </row>
    <row r="124">
      <c r="A124" s="2">
        <f>IFERROR(__xludf.DUMMYFUNCTION("""COMPUTED_VALUE"""),45715.99861111111)</f>
        <v>45715.99861</v>
      </c>
      <c r="B124" s="1">
        <f>IFERROR(__xludf.DUMMYFUNCTION("""COMPUTED_VALUE"""),2308.475162)</f>
        <v>2308.475162</v>
      </c>
    </row>
    <row r="125">
      <c r="A125" s="2">
        <f>IFERROR(__xludf.DUMMYFUNCTION("""COMPUTED_VALUE"""),45716.99861111111)</f>
        <v>45716.99861</v>
      </c>
      <c r="B125" s="1">
        <f>IFERROR(__xludf.DUMMYFUNCTION("""COMPUTED_VALUE"""),2134.555495)</f>
        <v>2134.555495</v>
      </c>
    </row>
    <row r="126">
      <c r="A126" s="2">
        <f>IFERROR(__xludf.DUMMYFUNCTION("""COMPUTED_VALUE"""),45717.99861111111)</f>
        <v>45717.99861</v>
      </c>
      <c r="B126" s="1">
        <f>IFERROR(__xludf.DUMMYFUNCTION("""COMPUTED_VALUE"""),2271.123374)</f>
        <v>2271.123374</v>
      </c>
    </row>
    <row r="127">
      <c r="A127" s="2">
        <f>IFERROR(__xludf.DUMMYFUNCTION("""COMPUTED_VALUE"""),45718.99861111111)</f>
        <v>45718.99861</v>
      </c>
      <c r="B127" s="1">
        <f>IFERROR(__xludf.DUMMYFUNCTION("""COMPUTED_VALUE"""),2228.425689)</f>
        <v>2228.425689</v>
      </c>
    </row>
    <row r="128">
      <c r="A128" s="2">
        <f>IFERROR(__xludf.DUMMYFUNCTION("""COMPUTED_VALUE"""),45719.99861111111)</f>
        <v>45719.99861</v>
      </c>
      <c r="B128" s="1">
        <f>IFERROR(__xludf.DUMMYFUNCTION("""COMPUTED_VALUE"""),2448.905638)</f>
        <v>2448.905638</v>
      </c>
    </row>
    <row r="129">
      <c r="A129" s="2">
        <f>IFERROR(__xludf.DUMMYFUNCTION("""COMPUTED_VALUE"""),45720.99861111111)</f>
        <v>45720.99861</v>
      </c>
      <c r="B129" s="1">
        <f>IFERROR(__xludf.DUMMYFUNCTION("""COMPUTED_VALUE"""),2082.02563)</f>
        <v>2082.02563</v>
      </c>
    </row>
    <row r="130">
      <c r="A130" s="2">
        <f>IFERROR(__xludf.DUMMYFUNCTION("""COMPUTED_VALUE"""),45721.99861111111)</f>
        <v>45721.99861</v>
      </c>
      <c r="B130" s="1">
        <f>IFERROR(__xludf.DUMMYFUNCTION("""COMPUTED_VALUE"""),2171.955321)</f>
        <v>2171.955321</v>
      </c>
    </row>
    <row r="131">
      <c r="A131" s="2">
        <f>IFERROR(__xludf.DUMMYFUNCTION("""COMPUTED_VALUE"""),45722.99861111111)</f>
        <v>45722.99861</v>
      </c>
      <c r="B131" s="1">
        <f>IFERROR(__xludf.DUMMYFUNCTION("""COMPUTED_VALUE"""),2297.750197)</f>
        <v>2297.750197</v>
      </c>
    </row>
    <row r="132">
      <c r="A132" s="2">
        <f>IFERROR(__xludf.DUMMYFUNCTION("""COMPUTED_VALUE"""),45723.99861111111)</f>
        <v>45723.99861</v>
      </c>
      <c r="B132" s="1">
        <f>IFERROR(__xludf.DUMMYFUNCTION("""COMPUTED_VALUE"""),2155.954746)</f>
        <v>2155.954746</v>
      </c>
    </row>
    <row r="133">
      <c r="A133" s="2">
        <f>IFERROR(__xludf.DUMMYFUNCTION("""COMPUTED_VALUE"""),45724.99861111111)</f>
        <v>45724.99861</v>
      </c>
      <c r="B133" s="1">
        <f>IFERROR(__xludf.DUMMYFUNCTION("""COMPUTED_VALUE"""),2150.175064)</f>
        <v>2150.175064</v>
      </c>
    </row>
    <row r="134">
      <c r="A134" s="2">
        <f>IFERROR(__xludf.DUMMYFUNCTION("""COMPUTED_VALUE"""),45725.99861111111)</f>
        <v>45725.99861</v>
      </c>
      <c r="B134" s="1">
        <f>IFERROR(__xludf.DUMMYFUNCTION("""COMPUTED_VALUE"""),2191.200793)</f>
        <v>2191.200793</v>
      </c>
    </row>
    <row r="135">
      <c r="A135" s="2">
        <f>IFERROR(__xludf.DUMMYFUNCTION("""COMPUTED_VALUE"""),45726.99861111111)</f>
        <v>45726.99861</v>
      </c>
      <c r="B135" s="1">
        <f>IFERROR(__xludf.DUMMYFUNCTION("""COMPUTED_VALUE"""),2058.834578)</f>
        <v>2058.834578</v>
      </c>
    </row>
    <row r="136">
      <c r="A136" s="2">
        <f>IFERROR(__xludf.DUMMYFUNCTION("""COMPUTED_VALUE"""),45727.99861111111)</f>
        <v>45727.99861</v>
      </c>
      <c r="B136" s="1">
        <f>IFERROR(__xludf.DUMMYFUNCTION("""COMPUTED_VALUE"""),1848.87287)</f>
        <v>1848.87287</v>
      </c>
    </row>
    <row r="137">
      <c r="A137" s="2">
        <f>IFERROR(__xludf.DUMMYFUNCTION("""COMPUTED_VALUE"""),45728.99861111111)</f>
        <v>45728.99861</v>
      </c>
      <c r="B137" s="1">
        <f>IFERROR(__xludf.DUMMYFUNCTION("""COMPUTED_VALUE"""),1869.29581)</f>
        <v>1869.29581</v>
      </c>
    </row>
    <row r="138">
      <c r="A138" s="2">
        <f>IFERROR(__xludf.DUMMYFUNCTION("""COMPUTED_VALUE"""),45729.99861111111)</f>
        <v>45729.99861</v>
      </c>
      <c r="B138" s="1">
        <f>IFERROR(__xludf.DUMMYFUNCTION("""COMPUTED_VALUE"""),1886.901849)</f>
        <v>1886.901849</v>
      </c>
    </row>
    <row r="139">
      <c r="A139" s="2">
        <f>IFERROR(__xludf.DUMMYFUNCTION("""COMPUTED_VALUE"""),45730.99861111111)</f>
        <v>45730.99861</v>
      </c>
      <c r="B139" s="1">
        <f>IFERROR(__xludf.DUMMYFUNCTION("""COMPUTED_VALUE"""),1887.93867)</f>
        <v>1887.93867</v>
      </c>
    </row>
    <row r="140">
      <c r="A140" s="2">
        <f>IFERROR(__xludf.DUMMYFUNCTION("""COMPUTED_VALUE"""),45731.99861111111)</f>
        <v>45731.99861</v>
      </c>
      <c r="B140" s="1">
        <f>IFERROR(__xludf.DUMMYFUNCTION("""COMPUTED_VALUE"""),1922.360256)</f>
        <v>1922.360256</v>
      </c>
    </row>
    <row r="141">
      <c r="A141" s="2">
        <f>IFERROR(__xludf.DUMMYFUNCTION("""COMPUTED_VALUE"""),45732.99861111111)</f>
        <v>45732.99861</v>
      </c>
      <c r="B141" s="1">
        <f>IFERROR(__xludf.DUMMYFUNCTION("""COMPUTED_VALUE"""),1929.08848)</f>
        <v>1929.08848</v>
      </c>
    </row>
    <row r="142">
      <c r="A142" s="2">
        <f>IFERROR(__xludf.DUMMYFUNCTION("""COMPUTED_VALUE"""),45733.99861111111)</f>
        <v>45733.99861</v>
      </c>
      <c r="B142" s="1">
        <f>IFERROR(__xludf.DUMMYFUNCTION("""COMPUTED_VALUE"""),1908.101601)</f>
        <v>1908.101601</v>
      </c>
    </row>
    <row r="143">
      <c r="A143" s="2">
        <f>IFERROR(__xludf.DUMMYFUNCTION("""COMPUTED_VALUE"""),45734.99861111111)</f>
        <v>45734.99861</v>
      </c>
      <c r="B143" s="1">
        <f>IFERROR(__xludf.DUMMYFUNCTION("""COMPUTED_VALUE"""),1901.201711)</f>
        <v>1901.201711</v>
      </c>
    </row>
    <row r="144">
      <c r="A144" s="2">
        <f>IFERROR(__xludf.DUMMYFUNCTION("""COMPUTED_VALUE"""),45735.99861111111)</f>
        <v>45735.99861</v>
      </c>
      <c r="B144" s="1">
        <f>IFERROR(__xludf.DUMMYFUNCTION("""COMPUTED_VALUE"""),1899.463816)</f>
        <v>1899.463816</v>
      </c>
    </row>
    <row r="145">
      <c r="A145" s="2">
        <f>IFERROR(__xludf.DUMMYFUNCTION("""COMPUTED_VALUE"""),45736.99861111111)</f>
        <v>45736.99861</v>
      </c>
      <c r="B145" s="1">
        <f>IFERROR(__xludf.DUMMYFUNCTION("""COMPUTED_VALUE"""),2022.968175)</f>
        <v>2022.968175</v>
      </c>
    </row>
    <row r="146">
      <c r="A146" s="2">
        <f>IFERROR(__xludf.DUMMYFUNCTION("""COMPUTED_VALUE"""),45737.99861111111)</f>
        <v>45737.99861</v>
      </c>
      <c r="B146" s="1">
        <f>IFERROR(__xludf.DUMMYFUNCTION("""COMPUTED_VALUE"""),1977.111078)</f>
        <v>1977.111078</v>
      </c>
    </row>
    <row r="147">
      <c r="A147" s="2">
        <f>IFERROR(__xludf.DUMMYFUNCTION("""COMPUTED_VALUE"""),45738.99861111111)</f>
        <v>45738.99861</v>
      </c>
      <c r="B147" s="1">
        <f>IFERROR(__xludf.DUMMYFUNCTION("""COMPUTED_VALUE"""),1975.023313)</f>
        <v>1975.023313</v>
      </c>
    </row>
    <row r="148">
      <c r="A148" s="2">
        <f>IFERROR(__xludf.DUMMYFUNCTION("""COMPUTED_VALUE"""),45739.99861111111)</f>
        <v>45739.99861</v>
      </c>
      <c r="B148" s="1">
        <f>IFERROR(__xludf.DUMMYFUNCTION("""COMPUTED_VALUE"""),2008.612133)</f>
        <v>2008.612133</v>
      </c>
    </row>
    <row r="149">
      <c r="A149" s="2">
        <f>IFERROR(__xludf.DUMMYFUNCTION("""COMPUTED_VALUE"""),45740.99861111111)</f>
        <v>45740.99861</v>
      </c>
      <c r="B149" s="1">
        <f>IFERROR(__xludf.DUMMYFUNCTION("""COMPUTED_VALUE"""),2013.119441)</f>
        <v>2013.119441</v>
      </c>
    </row>
    <row r="150">
      <c r="A150" s="2">
        <f>IFERROR(__xludf.DUMMYFUNCTION("""COMPUTED_VALUE"""),45741.99861111111)</f>
        <v>45741.99861</v>
      </c>
      <c r="B150" s="1">
        <f>IFERROR(__xludf.DUMMYFUNCTION("""COMPUTED_VALUE"""),2042.294574)</f>
        <v>2042.294574</v>
      </c>
    </row>
    <row r="151">
      <c r="A151" s="2">
        <f>IFERROR(__xludf.DUMMYFUNCTION("""COMPUTED_VALUE"""),45742.99861111111)</f>
        <v>45742.99861</v>
      </c>
      <c r="B151" s="1">
        <f>IFERROR(__xludf.DUMMYFUNCTION("""COMPUTED_VALUE"""),2048.826221)</f>
        <v>2048.826221</v>
      </c>
    </row>
    <row r="152">
      <c r="A152" s="2">
        <f>IFERROR(__xludf.DUMMYFUNCTION("""COMPUTED_VALUE"""),45743.99861111111)</f>
        <v>45743.99861</v>
      </c>
      <c r="B152" s="1">
        <f>IFERROR(__xludf.DUMMYFUNCTION("""COMPUTED_VALUE"""),2060.713792)</f>
        <v>2060.713792</v>
      </c>
    </row>
    <row r="153">
      <c r="A153" s="2">
        <f>IFERROR(__xludf.DUMMYFUNCTION("""COMPUTED_VALUE"""),45744.99861111111)</f>
        <v>45744.99861</v>
      </c>
      <c r="B153" s="1">
        <f>IFERROR(__xludf.DUMMYFUNCTION("""COMPUTED_VALUE"""),1999.704193)</f>
        <v>1999.704193</v>
      </c>
    </row>
    <row r="154">
      <c r="A154" s="2">
        <f>IFERROR(__xludf.DUMMYFUNCTION("""COMPUTED_VALUE"""),45745.99861111111)</f>
        <v>45745.99861</v>
      </c>
      <c r="B154" s="1">
        <f>IFERROR(__xludf.DUMMYFUNCTION("""COMPUTED_VALUE"""),1901.53252)</f>
        <v>1901.53252</v>
      </c>
    </row>
    <row r="155">
      <c r="A155" s="2">
        <f>IFERROR(__xludf.DUMMYFUNCTION("""COMPUTED_VALUE"""),45746.99861111111)</f>
        <v>45746.99861</v>
      </c>
      <c r="B155" s="1">
        <f>IFERROR(__xludf.DUMMYFUNCTION("""COMPUTED_VALUE"""),1835.818491)</f>
        <v>1835.818491</v>
      </c>
    </row>
    <row r="156">
      <c r="A156" s="2">
        <f>IFERROR(__xludf.DUMMYFUNCTION("""COMPUTED_VALUE"""),45747.99861111111)</f>
        <v>45747.99861</v>
      </c>
      <c r="B156" s="1">
        <f>IFERROR(__xludf.DUMMYFUNCTION("""COMPUTED_VALUE"""),1798.1663)</f>
        <v>1798.1663</v>
      </c>
    </row>
    <row r="157">
      <c r="A157" s="2">
        <f>IFERROR(__xludf.DUMMYFUNCTION("""COMPUTED_VALUE"""),45748.99861111111)</f>
        <v>45748.99861</v>
      </c>
      <c r="B157" s="1">
        <f>IFERROR(__xludf.DUMMYFUNCTION("""COMPUTED_VALUE"""),1834.193555)</f>
        <v>1834.193555</v>
      </c>
    </row>
    <row r="158">
      <c r="A158" s="2">
        <f>IFERROR(__xludf.DUMMYFUNCTION("""COMPUTED_VALUE"""),45749.99861111111)</f>
        <v>45749.99861</v>
      </c>
      <c r="B158" s="1">
        <f>IFERROR(__xludf.DUMMYFUNCTION("""COMPUTED_VALUE"""),1875.402634)</f>
        <v>1875.402634</v>
      </c>
    </row>
    <row r="159">
      <c r="A159" s="2">
        <f>IFERROR(__xludf.DUMMYFUNCTION("""COMPUTED_VALUE"""),45750.99861111111)</f>
        <v>45750.99861</v>
      </c>
      <c r="B159" s="1">
        <f>IFERROR(__xludf.DUMMYFUNCTION("""COMPUTED_VALUE"""),1823.031869)</f>
        <v>1823.031869</v>
      </c>
    </row>
    <row r="160">
      <c r="A160" s="2">
        <f>IFERROR(__xludf.DUMMYFUNCTION("""COMPUTED_VALUE"""),45751.99861111111)</f>
        <v>45751.99861</v>
      </c>
      <c r="B160" s="1">
        <f>IFERROR(__xludf.DUMMYFUNCTION("""COMPUTED_VALUE"""),1790.258883)</f>
        <v>1790.258883</v>
      </c>
    </row>
    <row r="161">
      <c r="A161" s="2">
        <f>IFERROR(__xludf.DUMMYFUNCTION("""COMPUTED_VALUE"""),45752.99861111111)</f>
        <v>45752.99861</v>
      </c>
      <c r="B161" s="1">
        <f>IFERROR(__xludf.DUMMYFUNCTION("""COMPUTED_VALUE"""),1808.50992)</f>
        <v>1808.50992</v>
      </c>
    </row>
    <row r="162">
      <c r="A162" s="2">
        <f>IFERROR(__xludf.DUMMYFUNCTION("""COMPUTED_VALUE"""),45753.99861111111)</f>
        <v>45753.99861</v>
      </c>
      <c r="B162" s="1">
        <f>IFERROR(__xludf.DUMMYFUNCTION("""COMPUTED_VALUE"""),1808.149512)</f>
        <v>1808.149512</v>
      </c>
    </row>
    <row r="163">
      <c r="A163" s="2">
        <f>IFERROR(__xludf.DUMMYFUNCTION("""COMPUTED_VALUE"""),45754.99861111111)</f>
        <v>45754.99861</v>
      </c>
      <c r="B163" s="1">
        <f>IFERROR(__xludf.DUMMYFUNCTION("""COMPUTED_VALUE"""),1540.103248)</f>
        <v>1540.103248</v>
      </c>
    </row>
    <row r="164">
      <c r="A164" s="2">
        <f>IFERROR(__xludf.DUMMYFUNCTION("""COMPUTED_VALUE"""),45756.99861111111)</f>
        <v>45756.99861</v>
      </c>
      <c r="B164" s="1">
        <f>IFERROR(__xludf.DUMMYFUNCTION("""COMPUTED_VALUE"""),1416.60739)</f>
        <v>1416.60739</v>
      </c>
    </row>
    <row r="165">
      <c r="A165" s="2">
        <f>IFERROR(__xludf.DUMMYFUNCTION("""COMPUTED_VALUE"""),45757.99861111111)</f>
        <v>45757.99861</v>
      </c>
      <c r="B165" s="1">
        <f>IFERROR(__xludf.DUMMYFUNCTION("""COMPUTED_VALUE"""),1613.18178)</f>
        <v>1613.18178</v>
      </c>
    </row>
    <row r="166">
      <c r="A166" s="2">
        <f>IFERROR(__xludf.DUMMYFUNCTION("""COMPUTED_VALUE"""),45758.99861111111)</f>
        <v>45758.99861</v>
      </c>
      <c r="B166" s="1">
        <f>IFERROR(__xludf.DUMMYFUNCTION("""COMPUTED_VALUE"""),1541.596362)</f>
        <v>1541.596362</v>
      </c>
    </row>
    <row r="167">
      <c r="A167" s="2">
        <f>IFERROR(__xludf.DUMMYFUNCTION("""COMPUTED_VALUE"""),45759.99861111111)</f>
        <v>45759.99861</v>
      </c>
      <c r="B167" s="1">
        <f>IFERROR(__xludf.DUMMYFUNCTION("""COMPUTED_VALUE"""),1584.041205)</f>
        <v>1584.041205</v>
      </c>
    </row>
    <row r="168">
      <c r="A168" s="2">
        <f>IFERROR(__xludf.DUMMYFUNCTION("""COMPUTED_VALUE"""),45760.99861111111)</f>
        <v>45760.99861</v>
      </c>
      <c r="B168" s="1">
        <f>IFERROR(__xludf.DUMMYFUNCTION("""COMPUTED_VALUE"""),1623.962889)</f>
        <v>1623.962889</v>
      </c>
    </row>
    <row r="169">
      <c r="A169" s="2">
        <f>IFERROR(__xludf.DUMMYFUNCTION("""COMPUTED_VALUE"""),45761.99861111111)</f>
        <v>45761.99861</v>
      </c>
      <c r="B169" s="1">
        <f>IFERROR(__xludf.DUMMYFUNCTION("""COMPUTED_VALUE"""),1628.236632)</f>
        <v>1628.236632</v>
      </c>
    </row>
    <row r="170">
      <c r="A170" s="2">
        <f>IFERROR(__xludf.DUMMYFUNCTION("""COMPUTED_VALUE"""),45762.99861111111)</f>
        <v>45762.99861</v>
      </c>
      <c r="B170" s="1">
        <f>IFERROR(__xludf.DUMMYFUNCTION("""COMPUTED_VALUE"""),1636.866276)</f>
        <v>1636.866276</v>
      </c>
    </row>
    <row r="171">
      <c r="A171" s="2">
        <f>IFERROR(__xludf.DUMMYFUNCTION("""COMPUTED_VALUE"""),45763.99861111111)</f>
        <v>45763.99861</v>
      </c>
      <c r="B171" s="1">
        <f>IFERROR(__xludf.DUMMYFUNCTION("""COMPUTED_VALUE"""),1591.336031)</f>
        <v>1591.336031</v>
      </c>
    </row>
    <row r="172">
      <c r="A172" s="2">
        <f>IFERROR(__xludf.DUMMYFUNCTION("""COMPUTED_VALUE"""),45764.99861111111)</f>
        <v>45764.99861</v>
      </c>
      <c r="B172" s="1">
        <f>IFERROR(__xludf.DUMMYFUNCTION("""COMPUTED_VALUE"""),1585.557234)</f>
        <v>1585.557234</v>
      </c>
    </row>
    <row r="173">
      <c r="A173" s="2">
        <f>IFERROR(__xludf.DUMMYFUNCTION("""COMPUTED_VALUE"""),45765.99861111111)</f>
        <v>45765.99861</v>
      </c>
      <c r="B173" s="1">
        <f>IFERROR(__xludf.DUMMYFUNCTION("""COMPUTED_VALUE"""),1583.14207)</f>
        <v>1583.14207</v>
      </c>
    </row>
    <row r="174">
      <c r="A174" s="2">
        <f>IFERROR(__xludf.DUMMYFUNCTION("""COMPUTED_VALUE"""),45766.99861111111)</f>
        <v>45766.99861</v>
      </c>
      <c r="B174" s="1">
        <f>IFERROR(__xludf.DUMMYFUNCTION("""COMPUTED_VALUE"""),1596.288874)</f>
        <v>1596.288874</v>
      </c>
    </row>
    <row r="175">
      <c r="A175" s="2">
        <f>IFERROR(__xludf.DUMMYFUNCTION("""COMPUTED_VALUE"""),45767.99861111111)</f>
        <v>45767.99861</v>
      </c>
      <c r="B175" s="1">
        <f>IFERROR(__xludf.DUMMYFUNCTION("""COMPUTED_VALUE"""),1609.378724)</f>
        <v>1609.378724</v>
      </c>
    </row>
    <row r="176">
      <c r="A176" s="2">
        <f>IFERROR(__xludf.DUMMYFUNCTION("""COMPUTED_VALUE"""),45768.99861111111)</f>
        <v>45768.99861</v>
      </c>
      <c r="B176" s="1">
        <f>IFERROR(__xludf.DUMMYFUNCTION("""COMPUTED_VALUE"""),1632.722273)</f>
        <v>1632.722273</v>
      </c>
    </row>
    <row r="177">
      <c r="A177" s="2">
        <f>IFERROR(__xludf.DUMMYFUNCTION("""COMPUTED_VALUE"""),45769.99861111111)</f>
        <v>45769.99861</v>
      </c>
      <c r="B177" s="1">
        <f>IFERROR(__xludf.DUMMYFUNCTION("""COMPUTED_VALUE"""),1577.903149)</f>
        <v>1577.903149</v>
      </c>
    </row>
    <row r="178">
      <c r="A178" s="2">
        <f>IFERROR(__xludf.DUMMYFUNCTION("""COMPUTED_VALUE"""),45770.99861111111)</f>
        <v>45770.99861</v>
      </c>
      <c r="B178" s="1">
        <f>IFERROR(__xludf.DUMMYFUNCTION("""COMPUTED_VALUE"""),1794.02532)</f>
        <v>1794.02532</v>
      </c>
    </row>
    <row r="179">
      <c r="A179" s="2">
        <f>IFERROR(__xludf.DUMMYFUNCTION("""COMPUTED_VALUE"""),45771.99861111111)</f>
        <v>45771.99861</v>
      </c>
      <c r="B179" s="1">
        <f>IFERROR(__xludf.DUMMYFUNCTION("""COMPUTED_VALUE"""),1769.349735)</f>
        <v>1769.349735</v>
      </c>
    </row>
    <row r="180">
      <c r="A180" s="2">
        <f>IFERROR(__xludf.DUMMYFUNCTION("""COMPUTED_VALUE"""),45772.99861111111)</f>
        <v>45772.99861</v>
      </c>
      <c r="B180" s="1">
        <f>IFERROR(__xludf.DUMMYFUNCTION("""COMPUTED_VALUE"""),1788.272119)</f>
        <v>1788.272119</v>
      </c>
    </row>
  </sheetData>
  <drawing r:id="rId1"/>
</worksheet>
</file>